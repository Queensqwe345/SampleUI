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imeline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<sst xmlns="http://schemas.openxmlformats.org/spreadsheetml/2006/main" count="32" uniqueCount="32">
  <si>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>Developer:</t>
  </si>
  <si>
    <t xml:space="preserve">Avinash Yadav</t>
  </si>
  <si>
    <t>Project:</t>
  </si>
  <si>
    <t xml:space="preserve">Data Ingestion - Admin Module (RBAC) and Login Methods</t>
  </si>
  <si>
    <t xml:space="preserve">Total Hours:</t>
  </si>
  <si>
    <t xml:space="preserve">Development hours/Per day:</t>
  </si>
  <si>
    <t xml:space="preserve">Development Start Date:</t>
  </si>
  <si>
    <t xml:space="preserve">Development End Date:</t>
  </si>
  <si>
    <t>Sno</t>
  </si>
  <si>
    <t xml:space="preserve">BRD # [optional]</t>
  </si>
  <si>
    <t xml:space="preserve">Task Breakdown</t>
  </si>
  <si>
    <t>Team</t>
  </si>
  <si>
    <t xml:space="preserve">Total FE</t>
  </si>
  <si>
    <t xml:space="preserve">Start Date</t>
  </si>
  <si>
    <t xml:space="preserve">End Date</t>
  </si>
  <si>
    <t>Comments</t>
  </si>
  <si>
    <t xml:space="preserve">Admin Module setup
Extend existing user and group details for login method, DI Group ownership, approval status and roles.</t>
  </si>
  <si>
    <t>FE</t>
  </si>
  <si>
    <t xml:space="preserve">Google Login and Google Groups
Add Google sign-in and connect permitted Google Groups to application access.</t>
  </si>
  <si>
    <t xml:space="preserve">Custom Login and OTP
Add signup, password change/reset and Twilio OTP. Reuse TPMailer for temporary-password emails after DI Group owner approval.</t>
  </si>
  <si>
    <t xml:space="preserve">Admin Module &gt; DI Groups
Add group registration with name, description, owner, owner email and roles. The nominated owner joins without membership approval.</t>
  </si>
  <si>
    <t xml:space="preserve">Admin Module &gt; New User and User Approval
Add user registration and membership requests for the selected DI Group owner to approve or reject.</t>
  </si>
  <si>
    <t xml:space="preserve">Standard roles and Permission (User Roles Assignments)
Set up the five standard roles and their menu/action access, and allow roles to be assigned to users.</t>
  </si>
  <si>
    <t xml:space="preserve">Custom Role (Menu Permissions)
Allow additional roles to be created with selected menu and action permissions.</t>
  </si>
  <si>
    <t xml:space="preserve">Role-based access on existing screens
Apply permissions to Dashboard, process creation/execution, Process List, Real Time Status and Processed File List, including own-created and group records.</t>
  </si>
  <si>
    <t xml:space="preserve">Region / Sub Region / Client and resource mappings
Add Admin screens to maintain DI Group mappings for regions, Database, Storage Account and Databricks using existing lookups.</t>
  </si>
  <si>
    <t xml:space="preserve">Source Connect (Workspace Connect)
Extend existing SharePoint and Google Drive access for the new roles and DI Groups, and show source setup-request status.</t>
  </si>
  <si>
    <t xml:space="preserve">Menu Modification and navigation
Add menu/icon/naming controls. Rename Add New to Create Process, Process Configuration to Process List, and File Process Status to Real Time Status.</t>
  </si>
  <si>
    <t xml:space="preserve">Security Group selection
Extend the existing selector for approved DI Groups and Google Groups, and refresh role access when the group changes.</t>
  </si>
  <si>
    <t xml:space="preserve">Reporting Module
Define Utilisation reports and the required Power BI reporting views.</t>
  </si>
  <si>
    <t xml:space="preserve">Unit testing and regression checks
Check new login, approval and role access, confirm existing Azure login and process flows, and resolve findings.</t>
  </si>
  <si>
    <t xml:space="preserve">Total estimated hours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</si>
</sst>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name val="Carlito"/>
    </font>
    <font>
      <b/>
      <sz val="11.000000"/>
      <color rgb="FF202B38"/>
      <name val="Calibri"/>
    </font>
    <font>
      <sz val="11.000000"/>
      <color rgb="FF202B38"/>
      <name val="Calibri"/>
    </font>
    <font>
      <i/>
      <sz val="11.000000"/>
      <color rgb="FF202B3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C6D8EE"/>
      </patternFill>
    </fill>
    <fill>
      <patternFill patternType="solid">
        <fgColor rgb="FFFFF2CC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879EB9"/>
      </left>
      <right style="thin">
        <color rgb="FF879EB9"/>
      </right>
      <top style="thin">
        <color rgb="FF879EB9"/>
      </top>
      <bottom style="thin">
        <color rgb="FF879EB9"/>
      </bottom>
      <diagonal style="none"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7">
    <xf fontId="0" fillId="0" borderId="0" numFmtId="0" xfId="0"/>
    <xf fontId="1" fillId="0" borderId="0" numFmtId="0" xfId="0" applyFont="1" applyAlignment="1">
      <alignment horizontal="right" vertical="center"/>
    </xf>
    <xf fontId="2" fillId="0" borderId="0" numFmtId="0" xfId="0" applyFont="1" applyAlignment="1">
      <alignment horizontal="left" vertical="center"/>
    </xf>
    <xf fontId="2" fillId="2" borderId="0" numFmtId="0" xfId="0" applyFont="1" applyFill="1" applyAlignment="1">
      <alignment horizontal="left" vertical="center"/>
    </xf>
    <xf fontId="2" fillId="2" borderId="0" numFmtId="15" xfId="0" applyNumberFormat="1" applyFont="1" applyFill="1" applyAlignment="1">
      <alignment horizontal="left" vertical="center"/>
    </xf>
    <xf fontId="2" fillId="0" borderId="0" numFmtId="15" xfId="0" applyNumberFormat="1" applyFont="1" applyAlignment="1">
      <alignment horizontal="left" vertical="center"/>
    </xf>
    <xf fontId="3" fillId="0" borderId="0" numFmtId="0" xfId="0" applyFont="1" applyAlignment="1">
      <alignment vertical="center"/>
    </xf>
    <xf fontId="1" fillId="3" borderId="1" numFmtId="0" xfId="0" applyFont="1" applyFill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vertical="center" wrapText="1"/>
    </xf>
    <xf fontId="2" fillId="0" borderId="2" numFmtId="15" xfId="0" applyNumberFormat="1" applyFont="1" applyBorder="1" applyAlignment="1">
      <alignment horizontal="center" vertical="center" wrapText="1"/>
    </xf>
    <xf fontId="2" fillId="4" borderId="2" numFmtId="0" xfId="0" applyFont="1" applyFill="1" applyBorder="1" applyAlignment="1">
      <alignment horizontal="center" vertical="center" wrapText="1"/>
    </xf>
    <xf fontId="2" fillId="4" borderId="2" numFmtId="0" xfId="0" applyFont="1" applyFill="1" applyBorder="1" applyAlignment="1">
      <alignment vertical="center" wrapText="1"/>
    </xf>
    <xf fontId="2" fillId="4" borderId="2" numFmtId="15" xfId="0" applyNumberFormat="1" applyFont="1" applyFill="1" applyBorder="1" applyAlignment="1">
      <alignment horizontal="center" vertical="center" wrapText="1"/>
    </xf>
    <xf fontId="1" fillId="3" borderId="1" numFmtId="0" xfId="0" applyFont="1" applyFill="1" applyBorder="1" applyAlignment="1">
      <alignment vertical="center"/>
    </xf>
    <xf fontId="2" fillId="0" borderId="0" numFmtId="0" xfId="0" applyFont="1" applyAlignment="1">
      <alignment vertical="center"/>
    </xf>
    <xf fontId="2" fillId="0" borderId="0" numFmtId="0" xfId="0" applyFont="1" applyAlignment="1">
      <alignment vertical="center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" zoomScale="100" workbookViewId="0">
      <pane ySplit="8" topLeftCell="A9" activePane="bottomLeft" state="frozen"/>
      <selection activeCell="A1" activeCellId="0" sqref="A1"/>
    </sheetView>
  </sheetViews>
  <sheetFormatPr defaultRowHeight="14.25"/>
  <cols>
    <col customWidth="1" min="1" max="1" width="7"/>
    <col customWidth="1" min="2" max="2" width="24"/>
    <col customWidth="1" min="3" max="3" width="78"/>
    <col customWidth="1" min="4" max="4" width="11"/>
    <col customWidth="1" min="5" max="5" width="12"/>
    <col customWidth="1" min="6" max="7" width="16"/>
    <col customWidth="1" min="8" max="8" width="24"/>
  </cols>
  <sheetData>
    <row r="1" ht="24" customHeight="1">
      <c r="A1" s="1" t="s">
        <v>0</v>
      </c>
      <c r="B1" s="1"/>
      <c r="C1" s="2" t="s">
        <v>1</v>
      </c>
      <c r="D1" s="2"/>
      <c r="E1" s="2"/>
      <c r="F1" s="2"/>
      <c r="G1" s="2"/>
      <c r="H1" s="2"/>
    </row>
    <row r="2" ht="24" customHeight="1">
      <c r="A2" s="1" t="s">
        <v>2</v>
      </c>
      <c r="B2" s="1"/>
      <c r="C2" s="2" t="s">
        <v>3</v>
      </c>
      <c r="D2" s="2"/>
      <c r="E2" s="2"/>
      <c r="F2" s="2"/>
      <c r="G2" s="2"/>
      <c r="H2" s="2"/>
    </row>
    <row r="3" ht="24" customHeight="1">
      <c r="A3" s="1" t="s">
        <v>4</v>
      </c>
      <c r="B3" s="1"/>
      <c r="C3" s="2">
        <f>E23</f>
        <v>108</v>
      </c>
      <c r="D3" s="2"/>
      <c r="E3" s="2"/>
      <c r="F3" s="2"/>
      <c r="G3" s="2"/>
      <c r="H3" s="2"/>
    </row>
    <row r="4" ht="24" customHeight="1">
      <c r="A4" s="1" t="s">
        <v>5</v>
      </c>
      <c r="B4" s="1"/>
      <c r="C4" s="3">
        <v>6</v>
      </c>
      <c r="D4" s="3"/>
      <c r="E4" s="3"/>
      <c r="F4" s="3"/>
      <c r="G4" s="3"/>
      <c r="H4" s="3"/>
    </row>
    <row r="5" ht="24" customHeight="1">
      <c r="A5" s="1" t="s">
        <v>6</v>
      </c>
      <c r="B5" s="1"/>
      <c r="C5" s="4">
        <v>46303</v>
      </c>
      <c r="D5" s="3"/>
      <c r="E5" s="3"/>
      <c r="F5" s="3"/>
      <c r="G5" s="3"/>
      <c r="H5" s="3"/>
    </row>
    <row r="6" ht="24" customHeight="1">
      <c r="A6" s="1" t="s">
        <v>7</v>
      </c>
      <c r="B6" s="1"/>
      <c r="C6" s="5">
        <f>MAX(G9:G22)</f>
        <v>46328</v>
      </c>
      <c r="D6" s="2"/>
      <c r="E6" s="2"/>
      <c r="F6" s="2"/>
      <c r="G6" s="2"/>
      <c r="H6" s="2"/>
    </row>
    <row r="7" ht="30" customHeight="1">
      <c r="A7" s="6" t="str">
        <f>"Estimated effort: "&amp;C3&amp;" hours at "&amp;C4&amp;" hours/day ("&amp;ROUNDUP(C3/C4,0)&amp;" working days). Yellow tasks: scope and estimate to be confirmed."</f>
        <v xml:space="preserve">Estimated effort: 108 hours at 6 hours/day (18 working days). Yellow tasks: scope and estimate to be confirmed.</v>
      </c>
      <c r="B7" s="6"/>
      <c r="C7" s="6"/>
      <c r="D7" s="6"/>
      <c r="E7" s="6"/>
      <c r="F7" s="6"/>
      <c r="G7" s="6"/>
      <c r="H7" s="6"/>
    </row>
    <row r="8" ht="30" customHeight="1">
      <c r="A8" s="7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</row>
    <row r="9" ht="60" customHeight="1">
      <c r="A9" s="8">
        <v>1</v>
      </c>
      <c r="B9" s="8"/>
      <c r="C9" s="9" t="s">
        <v>16</v>
      </c>
      <c r="D9" s="8" t="s">
        <v>17</v>
      </c>
      <c r="E9" s="8">
        <v>4</v>
      </c>
      <c r="F9" s="10">
        <f>WORKDAY($C$5-1,INT((0)/$C$4)+1,$C$27)</f>
        <v>46303</v>
      </c>
      <c r="G9" s="10">
        <f>WORKDAY($C$5-1,ROUNDUP(SUM($E$9:E9)/$C$4,0),$C$27)</f>
        <v>46303</v>
      </c>
      <c r="H9" s="9"/>
    </row>
    <row r="10" ht="60" customHeight="1">
      <c r="A10" s="8">
        <v>2</v>
      </c>
      <c r="B10" s="8"/>
      <c r="C10" s="9" t="s">
        <v>18</v>
      </c>
      <c r="D10" s="8" t="s">
        <v>17</v>
      </c>
      <c r="E10" s="8">
        <v>10</v>
      </c>
      <c r="F10" s="10">
        <f>WORKDAY($C$5-1,INT((SUM($E$9:E9))/$C$4)+1,$C$27)</f>
        <v>46303</v>
      </c>
      <c r="G10" s="10">
        <f t="shared" ref="G10:G22" si="0">WORKDAY($C$5-1,ROUNDUP(SUM($E$9:E10)/$C$4,0),$C$27)</f>
        <v>46307</v>
      </c>
      <c r="H10" s="9"/>
    </row>
    <row r="11" ht="60" customHeight="1">
      <c r="A11" s="8">
        <v>3</v>
      </c>
      <c r="B11" s="8"/>
      <c r="C11" s="9" t="s">
        <v>19</v>
      </c>
      <c r="D11" s="8" t="s">
        <v>17</v>
      </c>
      <c r="E11" s="8">
        <v>16</v>
      </c>
      <c r="F11" s="10">
        <f t="shared" ref="F11:F22" si="1">WORKDAY($C$5-1,INT((SUM($E$9:E10))/$C$4)+1,$C$27)</f>
        <v>46307</v>
      </c>
      <c r="G11" s="10">
        <f t="shared" si="0"/>
        <v>46309</v>
      </c>
      <c r="H11" s="9"/>
    </row>
    <row r="12" ht="60" customHeight="1">
      <c r="A12" s="8">
        <v>4</v>
      </c>
      <c r="B12" s="8"/>
      <c r="C12" s="9" t="s">
        <v>20</v>
      </c>
      <c r="D12" s="8" t="s">
        <v>17</v>
      </c>
      <c r="E12" s="8">
        <v>10</v>
      </c>
      <c r="F12" s="10">
        <f t="shared" si="1"/>
        <v>46310</v>
      </c>
      <c r="G12" s="10">
        <f t="shared" si="0"/>
        <v>46311</v>
      </c>
      <c r="H12" s="9"/>
    </row>
    <row r="13" ht="60" customHeight="1">
      <c r="A13" s="8">
        <v>5</v>
      </c>
      <c r="B13" s="8"/>
      <c r="C13" s="9" t="s">
        <v>21</v>
      </c>
      <c r="D13" s="8" t="s">
        <v>17</v>
      </c>
      <c r="E13" s="8">
        <v>9</v>
      </c>
      <c r="F13" s="10">
        <f t="shared" si="1"/>
        <v>46311</v>
      </c>
      <c r="G13" s="10">
        <f t="shared" si="0"/>
        <v>46315</v>
      </c>
      <c r="H13" s="9"/>
    </row>
    <row r="14" ht="60" customHeight="1">
      <c r="A14" s="8">
        <v>6</v>
      </c>
      <c r="B14" s="8"/>
      <c r="C14" s="9" t="s">
        <v>22</v>
      </c>
      <c r="D14" s="8" t="s">
        <v>17</v>
      </c>
      <c r="E14" s="8">
        <v>9</v>
      </c>
      <c r="F14" s="10">
        <f t="shared" si="1"/>
        <v>46315</v>
      </c>
      <c r="G14" s="10">
        <f t="shared" si="0"/>
        <v>46316</v>
      </c>
      <c r="H14" s="9"/>
    </row>
    <row r="15" ht="60" customHeight="1">
      <c r="A15" s="11">
        <v>7</v>
      </c>
      <c r="B15" s="11"/>
      <c r="C15" s="12" t="s">
        <v>23</v>
      </c>
      <c r="D15" s="11" t="s">
        <v>17</v>
      </c>
      <c r="E15" s="11"/>
      <c r="F15" s="13"/>
      <c r="G15" s="13"/>
      <c r="H15" s="12"/>
    </row>
    <row r="16" ht="60" customHeight="1">
      <c r="A16" s="8">
        <v>8</v>
      </c>
      <c r="B16" s="8"/>
      <c r="C16" s="9" t="s">
        <v>24</v>
      </c>
      <c r="D16" s="8" t="s">
        <v>17</v>
      </c>
      <c r="E16" s="8">
        <v>11</v>
      </c>
      <c r="F16" s="10">
        <f t="shared" si="1"/>
        <v>46316</v>
      </c>
      <c r="G16" s="10">
        <f t="shared" si="0"/>
        <v>46318</v>
      </c>
      <c r="H16" s="9"/>
    </row>
    <row r="17" ht="60" customHeight="1">
      <c r="A17" s="8">
        <v>9</v>
      </c>
      <c r="B17" s="8"/>
      <c r="C17" s="9" t="s">
        <v>25</v>
      </c>
      <c r="D17" s="8" t="s">
        <v>17</v>
      </c>
      <c r="E17" s="8">
        <v>9</v>
      </c>
      <c r="F17" s="10">
        <f t="shared" si="1"/>
        <v>46318</v>
      </c>
      <c r="G17" s="10">
        <f t="shared" si="0"/>
        <v>46321</v>
      </c>
      <c r="H17" s="9"/>
    </row>
    <row r="18" ht="60" customHeight="1">
      <c r="A18" s="8">
        <v>10</v>
      </c>
      <c r="B18" s="8"/>
      <c r="C18" s="9" t="s">
        <v>26</v>
      </c>
      <c r="D18" s="8" t="s">
        <v>17</v>
      </c>
      <c r="E18" s="8">
        <v>6</v>
      </c>
      <c r="F18" s="10">
        <f t="shared" si="1"/>
        <v>46322</v>
      </c>
      <c r="G18" s="10">
        <f t="shared" si="0"/>
        <v>46322</v>
      </c>
      <c r="H18" s="9"/>
    </row>
    <row r="19" ht="72" customHeight="1">
      <c r="A19" s="8">
        <v>11</v>
      </c>
      <c r="B19" s="8"/>
      <c r="C19" s="9" t="s">
        <v>27</v>
      </c>
      <c r="D19" s="8" t="s">
        <v>17</v>
      </c>
      <c r="E19" s="8">
        <v>6</v>
      </c>
      <c r="F19" s="10">
        <f t="shared" si="1"/>
        <v>46323</v>
      </c>
      <c r="G19" s="10">
        <f t="shared" si="0"/>
        <v>46323</v>
      </c>
      <c r="H19" s="9"/>
    </row>
    <row r="20" ht="60" customHeight="1">
      <c r="A20" s="8">
        <v>12</v>
      </c>
      <c r="B20" s="8"/>
      <c r="C20" s="9" t="s">
        <v>28</v>
      </c>
      <c r="D20" s="8" t="s">
        <v>17</v>
      </c>
      <c r="E20" s="8">
        <v>6</v>
      </c>
      <c r="F20" s="10">
        <f t="shared" si="1"/>
        <v>46324</v>
      </c>
      <c r="G20" s="10">
        <f t="shared" si="0"/>
        <v>46324</v>
      </c>
      <c r="H20" s="9"/>
    </row>
    <row r="21" ht="60" customHeight="1">
      <c r="A21" s="11">
        <v>13</v>
      </c>
      <c r="B21" s="11"/>
      <c r="C21" s="12" t="s">
        <v>29</v>
      </c>
      <c r="D21" s="11" t="s">
        <v>17</v>
      </c>
      <c r="E21" s="11"/>
      <c r="F21" s="13"/>
      <c r="G21" s="13"/>
      <c r="H21" s="12"/>
    </row>
    <row r="22" ht="60" customHeight="1">
      <c r="A22" s="8">
        <v>14</v>
      </c>
      <c r="B22" s="8"/>
      <c r="C22" s="9" t="s">
        <v>30</v>
      </c>
      <c r="D22" s="8" t="s">
        <v>17</v>
      </c>
      <c r="E22" s="8">
        <v>12</v>
      </c>
      <c r="F22" s="10">
        <f t="shared" si="1"/>
        <v>46325</v>
      </c>
      <c r="G22" s="10">
        <f t="shared" si="0"/>
        <v>46328</v>
      </c>
      <c r="H22" s="9"/>
    </row>
    <row r="23" ht="28" customHeight="1">
      <c r="A23" s="14"/>
      <c r="B23" s="14"/>
      <c r="C23" s="14" t="s">
        <v>31</v>
      </c>
      <c r="D23" s="14"/>
      <c r="E23" s="14">
        <f>SUM(E9:E22)</f>
        <v>108</v>
      </c>
      <c r="F23" s="14"/>
      <c r="G23" s="14"/>
      <c r="H23" s="14"/>
    </row>
    <row r="24">
      <c r="A24" s="15"/>
      <c r="B24" s="15"/>
      <c r="C24" s="15"/>
      <c r="D24" s="15"/>
      <c r="E24" s="15"/>
      <c r="F24" s="15"/>
      <c r="G24" s="15"/>
      <c r="H24" s="15"/>
    </row>
    <row r="25" ht="28" customHeight="1">
      <c r="A25" s="16"/>
      <c r="B25" s="16"/>
      <c r="C25" s="16"/>
      <c r="D25" s="16"/>
      <c r="E25" s="16"/>
      <c r="F25" s="16"/>
      <c r="G25" s="16"/>
      <c r="H25" s="16"/>
    </row>
    <row r="26" ht="28" customHeight="1">
      <c r="A26" s="16"/>
      <c r="B26" s="16"/>
      <c r="C26" s="16"/>
      <c r="D26" s="16"/>
      <c r="E26" s="16"/>
      <c r="F26" s="16"/>
      <c r="G26" s="16"/>
      <c r="H26" s="16"/>
    </row>
    <row r="27" ht="26" customHeight="1">
      <c r="A27" s="15"/>
      <c r="B27" s="15"/>
      <c r="C27" s="5"/>
      <c r="D27" s="15"/>
      <c r="E27" s="15"/>
      <c r="F27" s="15"/>
      <c r="G27" s="15"/>
      <c r="H27" s="15"/>
    </row>
  </sheetData>
  <mergeCells count="17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H7"/>
    <mergeCell ref="A25:H25"/>
    <mergeCell ref="A26:H26"/>
    <mergeCell ref="A27:B27"/>
    <mergeCell ref="D27:H2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59D56665-4457-4279-9332-ED47D18EB181}" type="decimal" allowBlank="0" errorStyle="stop" imeMode="noControl" operator="between" showDropDown="0" showErrorMessage="0" showInputMessage="0">
          <x14:formula1>
            <xm:f>0.5</xm:f>
          </x14:formula1>
          <x14:formula2>
            <xm:f>24</xm:f>
          </x14:formula2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